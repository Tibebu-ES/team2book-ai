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guay_old/Dropbox/jonathan/logiciel/team2book/documentation/nouveaux_clients/francais/"/>
    </mc:Choice>
  </mc:AlternateContent>
  <xr:revisionPtr revIDLastSave="0" documentId="13_ncr:1_{B6FF1D15-8FD8-E74D-A354-89EEB435D0FA}" xr6:coauthVersionLast="47" xr6:coauthVersionMax="47" xr10:uidLastSave="{00000000-0000-0000-0000-000000000000}"/>
  <bookViews>
    <workbookView xWindow="4440" yWindow="760" windowWidth="22780" windowHeight="18880" xr2:uid="{9C634DA8-14E8-0440-A7E8-A3A6EB9206CC}"/>
  </bookViews>
  <sheets>
    <sheet name="Intégration" sheetId="1" r:id="rId1"/>
    <sheet name="Configuration" sheetId="2" r:id="rId2"/>
    <sheet name="Formation" sheetId="3" r:id="rId3"/>
  </sheets>
  <definedNames>
    <definedName name="_Toc187670050" localSheetId="2">Formation!$A$4</definedName>
    <definedName name="_Toc187670051" localSheetId="2">Formation!$A$5</definedName>
    <definedName name="_Toc187670052" localSheetId="2">Formation!$A$22</definedName>
    <definedName name="_Toc187670053" localSheetId="2">Formation!$A$23</definedName>
    <definedName name="_Toc187670054" localSheetId="2">Formation!$A$24</definedName>
    <definedName name="_Toc187670055" localSheetId="2">Formation!$A$29</definedName>
    <definedName name="_Toc187670056" localSheetId="2">Formation!$A$30</definedName>
    <definedName name="_Toc187670057" localSheetId="2">Formation!$A$31</definedName>
    <definedName name="_Toc187670058" localSheetId="2">Formation!$A$32</definedName>
    <definedName name="_Toc187670059" localSheetId="2">Formation!$A$38</definedName>
    <definedName name="_Toc187670060" localSheetId="2">Formation!$A$39</definedName>
    <definedName name="_Toc187670061" localSheetId="2">Formation!$A$40</definedName>
    <definedName name="_Toc187670062" localSheetId="2">Formation!$A$41</definedName>
    <definedName name="_Toc187670063" localSheetId="2">Formation!$A$46</definedName>
    <definedName name="_Toc187670064" localSheetId="2">Formation!$A$47</definedName>
    <definedName name="_Toc187670065" localSheetId="2">Formation!$A$48</definedName>
    <definedName name="_Toc187670066" localSheetId="2">Formation!$A$49</definedName>
    <definedName name="_Toc187670067" localSheetId="2">Formation!$A$57</definedName>
    <definedName name="_Toc187670068" localSheetId="2">Formation!$A$58</definedName>
    <definedName name="_Toc187670069" localSheetId="2">Formation!$A$59</definedName>
    <definedName name="_Toc187670070" localSheetId="2">Formation!#REF!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3" l="1"/>
  <c r="C64" i="3"/>
  <c r="C63" i="3"/>
  <c r="C62" i="3"/>
  <c r="C61" i="3"/>
  <c r="C60" i="3"/>
  <c r="C56" i="3"/>
  <c r="C55" i="3"/>
  <c r="C54" i="3"/>
  <c r="C53" i="3"/>
  <c r="C52" i="3"/>
  <c r="C51" i="3"/>
  <c r="C50" i="3"/>
  <c r="C42" i="3"/>
  <c r="C43" i="3"/>
  <c r="C44" i="3"/>
  <c r="C45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27" i="3"/>
  <c r="C26" i="3"/>
  <c r="C25" i="3"/>
  <c r="C33" i="3"/>
  <c r="C34" i="3"/>
  <c r="C35" i="3"/>
  <c r="C36" i="3"/>
  <c r="C37" i="3"/>
  <c r="C4" i="3"/>
  <c r="C24" i="3"/>
  <c r="C28" i="3"/>
  <c r="C59" i="3"/>
  <c r="C58" i="3"/>
  <c r="C57" i="3"/>
  <c r="C49" i="3"/>
  <c r="C48" i="3"/>
  <c r="C47" i="3"/>
  <c r="C41" i="3"/>
  <c r="C40" i="3"/>
  <c r="C39" i="3"/>
  <c r="C31" i="3"/>
  <c r="C32" i="3"/>
  <c r="C30" i="3"/>
  <c r="C5" i="3"/>
  <c r="C23" i="3"/>
  <c r="C29" i="3"/>
  <c r="C38" i="3"/>
  <c r="C22" i="3"/>
  <c r="C46" i="3"/>
  <c r="C21" i="2"/>
  <c r="C17" i="2"/>
  <c r="C16" i="2"/>
  <c r="C18" i="2"/>
  <c r="C19" i="2"/>
  <c r="C20" i="2"/>
  <c r="C12" i="2"/>
  <c r="C13" i="2"/>
  <c r="C14" i="2"/>
  <c r="C11" i="2"/>
  <c r="C9" i="2"/>
  <c r="C8" i="2"/>
  <c r="C7" i="2"/>
  <c r="C6" i="2"/>
  <c r="C5" i="2"/>
  <c r="C10" i="2"/>
  <c r="C15" i="2"/>
  <c r="C4" i="2"/>
  <c r="C26" i="1"/>
  <c r="C20" i="1"/>
  <c r="C23" i="1"/>
  <c r="C22" i="1"/>
  <c r="C21" i="1"/>
  <c r="C16" i="1"/>
  <c r="C19" i="1"/>
  <c r="C9" i="1"/>
  <c r="C10" i="1"/>
  <c r="C11" i="1"/>
  <c r="C13" i="1"/>
  <c r="C14" i="1"/>
  <c r="C17" i="1"/>
  <c r="C18" i="1"/>
  <c r="C12" i="1"/>
  <c r="C15" i="1"/>
  <c r="C28" i="1"/>
  <c r="C27" i="1"/>
  <c r="C24" i="1"/>
  <c r="C25" i="1"/>
  <c r="C29" i="1"/>
  <c r="C30" i="1"/>
  <c r="C6" i="1"/>
  <c r="C7" i="1"/>
  <c r="C8" i="1"/>
  <c r="C5" i="1"/>
  <c r="C4" i="1"/>
  <c r="C31" i="1"/>
</calcChain>
</file>

<file path=xl/sharedStrings.xml><?xml version="1.0" encoding="utf-8"?>
<sst xmlns="http://schemas.openxmlformats.org/spreadsheetml/2006/main" count="124" uniqueCount="118">
  <si>
    <t>Client : _________________________________________________</t>
  </si>
  <si>
    <t>1. Abonnement à Teamup Calendar</t>
  </si>
  <si>
    <t>2. Abonnement à Team2Book</t>
  </si>
  <si>
    <t>4. Clé d'accès administrateur</t>
  </si>
  <si>
    <t>5. Bloc de configuration #1 : Configuration initiale</t>
  </si>
  <si>
    <t>6. Module de formation pour gestionnaire d'équipe #1</t>
  </si>
  <si>
    <t>7. Module de formation pour gestionnaire d'équipe #2</t>
  </si>
  <si>
    <t xml:space="preserve">     6.1 Bloc d'exercices pour gestionnaires d'équipe #1</t>
  </si>
  <si>
    <t xml:space="preserve">     6.2 Rencontre de formation #1</t>
  </si>
  <si>
    <t xml:space="preserve">     7.1 Bloc d'exercices pour gestionnaires d'équipe #2</t>
  </si>
  <si>
    <t xml:space="preserve">     7.2 Bloc de configurations #2 à 12</t>
  </si>
  <si>
    <t xml:space="preserve">     7.3 Rencontre de formation #2</t>
  </si>
  <si>
    <t>8. Module de formation pour gestionnaire d'équipe #3</t>
  </si>
  <si>
    <t xml:space="preserve">     8.2 Bloc de configurations #13 à 17</t>
  </si>
  <si>
    <t xml:space="preserve">     9.2 Bloc de configuration #18 : Paramètres</t>
  </si>
  <si>
    <t xml:space="preserve">     9.3 Rencontre de formation #4 (optionnelle)</t>
  </si>
  <si>
    <t>10. Module de formation pour consommateurs #1</t>
  </si>
  <si>
    <t xml:space="preserve">     10.1 Bloc d'exercices pour consommateurs #1</t>
  </si>
  <si>
    <t>11. Module de formation pour consommateurs #2 (optionnel)</t>
  </si>
  <si>
    <t>12. Module de formation pour spectateurs #1</t>
  </si>
  <si>
    <t xml:space="preserve">     12.1 Bloc d'exercices pour spectateurs #1</t>
  </si>
  <si>
    <t>13. comparaison avec votre horaire existant</t>
  </si>
  <si>
    <t>Configuration #2 : Détails du client</t>
  </si>
  <si>
    <t>Configuration #1 : Configuration initiale</t>
  </si>
  <si>
    <t>Configuration #3 : Catégorie de ressources</t>
  </si>
  <si>
    <t>Configuration #4 : Rôles des consommateurs</t>
  </si>
  <si>
    <t>Configuration #5 : Ressources</t>
  </si>
  <si>
    <t>Configuration #6 : Priorité de vos consommateurs</t>
  </si>
  <si>
    <t>Configuration #7 : Préférences de ressources pour vos consommateurs</t>
  </si>
  <si>
    <t>Configuration #8 : Couleur du sous-calendrier de disponibilités de chaque consommateur</t>
  </si>
  <si>
    <t>Configuration #9 : Type de sous-calendrier de disponibilités</t>
  </si>
  <si>
    <t>Configuration #10 : Heures de disponibilités habituelles pour chaque consommateur.</t>
  </si>
  <si>
    <t>Configuration #12 : Consommateurs</t>
  </si>
  <si>
    <t>Configuration #13 : Spectateurs</t>
  </si>
  <si>
    <t>Configuration #14 : Gestionnaires d’équipe</t>
  </si>
  <si>
    <t>Configuration #15 : Événements spéciaux</t>
  </si>
  <si>
    <t>Configuration #16 : Contraintes</t>
  </si>
  <si>
    <t>Configuration #17 : Notifications</t>
  </si>
  <si>
    <t>Configuration #18 : Paramètres</t>
  </si>
  <si>
    <r>
      <t xml:space="preserve">Suivi de votre progression pour </t>
    </r>
    <r>
      <rPr>
        <b/>
        <u/>
        <sz val="18"/>
        <color theme="1"/>
        <rFont val="Baloo 2"/>
      </rPr>
      <t>l'intégration</t>
    </r>
    <r>
      <rPr>
        <b/>
        <sz val="18"/>
        <color theme="1"/>
        <rFont val="Baloo 2"/>
      </rPr>
      <t xml:space="preserve"> de Team2Book</t>
    </r>
  </si>
  <si>
    <r>
      <t xml:space="preserve">Suivi de votre progression pour </t>
    </r>
    <r>
      <rPr>
        <b/>
        <u/>
        <sz val="18"/>
        <color theme="1"/>
        <rFont val="Baloo 2"/>
      </rPr>
      <t>la formation</t>
    </r>
    <r>
      <rPr>
        <b/>
        <sz val="18"/>
        <color theme="1"/>
        <rFont val="Baloo 2"/>
      </rPr>
      <t xml:space="preserve"> de Team2Book</t>
    </r>
  </si>
  <si>
    <r>
      <t xml:space="preserve">Suivi de votre progression de </t>
    </r>
    <r>
      <rPr>
        <b/>
        <u/>
        <sz val="18"/>
        <color theme="1"/>
        <rFont val="Baloo 2"/>
      </rPr>
      <t>la configuration</t>
    </r>
    <r>
      <rPr>
        <b/>
        <sz val="18"/>
        <color theme="1"/>
        <rFont val="Baloo 2"/>
      </rPr>
      <t xml:space="preserve"> de Team2Book</t>
    </r>
  </si>
  <si>
    <t xml:space="preserve">     Bloc d’exercices pour gestionnaires d’équipe #1</t>
  </si>
  <si>
    <t xml:space="preserve">     Rencontre de formation #1</t>
  </si>
  <si>
    <t xml:space="preserve">     Bloc de configurations #2 à 12</t>
  </si>
  <si>
    <t xml:space="preserve">     Rencontre de formation #2</t>
  </si>
  <si>
    <t xml:space="preserve">               GE.1.3 Installation de l’application mobile Teamup Calendar</t>
  </si>
  <si>
    <t xml:space="preserve">               GE.1.6 Ajoutez une nouvelle ressource </t>
  </si>
  <si>
    <t xml:space="preserve">               GE.1.7 Ajoutez un consommateur</t>
  </si>
  <si>
    <t xml:space="preserve">               GE.1.8 Ajoutez une disponibilité</t>
  </si>
  <si>
    <t xml:space="preserve">               GE.1.9 Exécutez le planificateur</t>
  </si>
  <si>
    <t xml:space="preserve">     Bloc d’exercices pour gestionnaires d’équipe #3</t>
  </si>
  <si>
    <t xml:space="preserve">     Bloc de configurations #13 à #17</t>
  </si>
  <si>
    <t xml:space="preserve">     Rencontre de formation #3 (optionnelle)</t>
  </si>
  <si>
    <t xml:space="preserve">     Bloc d’exercices pour gestionnaires d’équipe #4</t>
  </si>
  <si>
    <t xml:space="preserve">     Bloc de configuration #18 : Paramètres</t>
  </si>
  <si>
    <t xml:space="preserve">     Rencontre de formation #4 (optionnelle)</t>
  </si>
  <si>
    <t xml:space="preserve">     Bloc d’exercices pour consommateurs #1</t>
  </si>
  <si>
    <r>
      <t xml:space="preserve">Module de formation pour </t>
    </r>
    <r>
      <rPr>
        <u/>
        <sz val="16"/>
        <rFont val="Aptos Narrow"/>
        <scheme val="minor"/>
      </rPr>
      <t>gestionnaire d’équipe</t>
    </r>
    <r>
      <rPr>
        <sz val="16"/>
        <rFont val="Aptos Narrow"/>
        <scheme val="minor"/>
      </rPr>
      <t xml:space="preserve"> #1</t>
    </r>
  </si>
  <si>
    <r>
      <t xml:space="preserve">Module de formation pour </t>
    </r>
    <r>
      <rPr>
        <u/>
        <sz val="16"/>
        <rFont val="Aptos Narrow"/>
        <scheme val="minor"/>
      </rPr>
      <t>gestionnaire d’équipe</t>
    </r>
    <r>
      <rPr>
        <sz val="16"/>
        <rFont val="Aptos Narrow"/>
        <scheme val="minor"/>
      </rPr>
      <t xml:space="preserve"> #2</t>
    </r>
  </si>
  <si>
    <r>
      <t xml:space="preserve">     Bloc d’exercices pour </t>
    </r>
    <r>
      <rPr>
        <u/>
        <sz val="14"/>
        <rFont val="Aptos Narrow"/>
        <scheme val="minor"/>
      </rPr>
      <t>gestionnaires d’équipe</t>
    </r>
    <r>
      <rPr>
        <sz val="14"/>
        <rFont val="Aptos Narrow"/>
        <scheme val="minor"/>
      </rPr>
      <t xml:space="preserve"> #2</t>
    </r>
  </si>
  <si>
    <r>
      <t xml:space="preserve">Module de formation pour </t>
    </r>
    <r>
      <rPr>
        <u/>
        <sz val="16"/>
        <rFont val="Aptos Narrow"/>
        <scheme val="minor"/>
      </rPr>
      <t>gestionnaire d’équipe</t>
    </r>
    <r>
      <rPr>
        <sz val="16"/>
        <rFont val="Aptos Narrow"/>
        <scheme val="minor"/>
      </rPr>
      <t xml:space="preserve"> #3</t>
    </r>
  </si>
  <si>
    <r>
      <t xml:space="preserve">Module de formation pour </t>
    </r>
    <r>
      <rPr>
        <u/>
        <sz val="16"/>
        <rFont val="Aptos Narrow"/>
        <scheme val="minor"/>
      </rPr>
      <t>gestionnaires d’équipe</t>
    </r>
    <r>
      <rPr>
        <sz val="16"/>
        <rFont val="Aptos Narrow"/>
        <scheme val="minor"/>
      </rPr>
      <t xml:space="preserve"> #4</t>
    </r>
  </si>
  <si>
    <r>
      <t xml:space="preserve">Module de formation pour </t>
    </r>
    <r>
      <rPr>
        <u/>
        <sz val="16"/>
        <rFont val="Aptos Narrow"/>
        <scheme val="minor"/>
      </rPr>
      <t>consommateurs</t>
    </r>
    <r>
      <rPr>
        <sz val="16"/>
        <rFont val="Aptos Narrow"/>
        <scheme val="minor"/>
      </rPr>
      <t xml:space="preserve"> #1</t>
    </r>
  </si>
  <si>
    <r>
      <t xml:space="preserve">Module de formation pour </t>
    </r>
    <r>
      <rPr>
        <u/>
        <sz val="16"/>
        <rFont val="Aptos Narrow"/>
        <scheme val="minor"/>
      </rPr>
      <t>consommateurs</t>
    </r>
    <r>
      <rPr>
        <sz val="16"/>
        <rFont val="Aptos Narrow"/>
        <scheme val="minor"/>
      </rPr>
      <t xml:space="preserve"> #2 (optionnel)</t>
    </r>
  </si>
  <si>
    <r>
      <t xml:space="preserve">Module de formation pour </t>
    </r>
    <r>
      <rPr>
        <u/>
        <sz val="16"/>
        <rFont val="Aptos Narrow"/>
        <scheme val="minor"/>
      </rPr>
      <t>spectateurs</t>
    </r>
    <r>
      <rPr>
        <sz val="16"/>
        <rFont val="Aptos Narrow"/>
        <scheme val="minor"/>
      </rPr>
      <t xml:space="preserve"> #1</t>
    </r>
  </si>
  <si>
    <r>
      <t xml:space="preserve">     Bloc d’exercices pour </t>
    </r>
    <r>
      <rPr>
        <u/>
        <sz val="14"/>
        <rFont val="Aptos Narrow"/>
        <scheme val="minor"/>
      </rPr>
      <t>spectateurs</t>
    </r>
    <r>
      <rPr>
        <sz val="14"/>
        <rFont val="Aptos Narrow"/>
        <scheme val="minor"/>
      </rPr>
      <t xml:space="preserve"> #1</t>
    </r>
  </si>
  <si>
    <t xml:space="preserve">               GE.4.1 Activez « Ressources libres et réservations »</t>
  </si>
  <si>
    <t xml:space="preserve">               GE.4.2 Affichez les ressources demeurées vacantes</t>
  </si>
  <si>
    <t xml:space="preserve">               GE.4.3 Réservez une ressource demeurée vacante</t>
  </si>
  <si>
    <t xml:space="preserve">               GE.4.4 Modifiez les autorisations de sous-calendriers</t>
  </si>
  <si>
    <t xml:space="preserve">               C.1.1 Installez l’application mobile Teamup Calendar</t>
  </si>
  <si>
    <t xml:space="preserve">               C.1.3 Rafraîchissez les événements affichés sur l’application mobile Teamup</t>
  </si>
  <si>
    <t>À compléter pour</t>
  </si>
  <si>
    <t>Statut</t>
  </si>
  <si>
    <t>3. Communiquez-nous les coordonnées du coordonnateur des horaires</t>
  </si>
  <si>
    <t xml:space="preserve">     8.3 Renconre de formation #3 (optionnelle)</t>
  </si>
  <si>
    <t>9. Module de formation pour gestionnaires d'équipe #4</t>
  </si>
  <si>
    <t xml:space="preserve">     9.1 Bloc d'exercices pour gestionnaires d'équipe #4</t>
  </si>
  <si>
    <t xml:space="preserve">     8.1 Bloc d'exercices pour gestionnaires d'équipe #3</t>
  </si>
  <si>
    <t>Configuration  #11 : Préparation pour la création des consommateurs</t>
  </si>
  <si>
    <t xml:space="preserve">               GE.1.1 Connexion au tableau de bord de Team2Book</t>
  </si>
  <si>
    <t xml:space="preserve">               GE.1.2 Connecxion à Teamup à partir du Tableau de bord de Team2Book</t>
  </si>
  <si>
    <t>Date de déploiement désirée :</t>
  </si>
  <si>
    <t xml:space="preserve">               GE.1.4 Ajoutez un nouveau rôle de consommateur. </t>
  </si>
  <si>
    <t xml:space="preserve">               GE.1.5 Ajoutez une nouvelle catégorie de ressources </t>
  </si>
  <si>
    <t xml:space="preserve">               GE.1.10 Vérifiez la ressource attribuée pour l’événement de consommateur</t>
  </si>
  <si>
    <t xml:space="preserve">               GE.1.11 Modifiez la vue de calendrier de Teamup Calendar</t>
  </si>
  <si>
    <t xml:space="preserve">               GE.1.12 Affichez les événements d’un seul sous-calendrier et masquer tous les autres</t>
  </si>
  <si>
    <t xml:space="preserve">               GE.1.13 Affichez les événements des sous-calendriers d’un groupe</t>
  </si>
  <si>
    <t xml:space="preserve">               GE.1.14 Affichez les événements de 2 sous-calendriers ou plus</t>
  </si>
  <si>
    <t xml:space="preserve">               GE.1.16 Rafraîchissez le contenu de votre calendrier Teamup</t>
  </si>
  <si>
    <t xml:space="preserve">               GE.1.15 Filtrez les événements</t>
  </si>
  <si>
    <t xml:space="preserve">               GE.2.1 Modifiez la couleur du sous-calendrier de ressource</t>
  </si>
  <si>
    <t xml:space="preserve">               GE.2.3 Modifiez les préférences de ressources pour un consommateur</t>
  </si>
  <si>
    <t xml:space="preserve">               GE.2.4 Effacez un consommateur</t>
  </si>
  <si>
    <t xml:space="preserve">               GE.3.2 Assignez un médecin au sans rendez-vous </t>
  </si>
  <si>
    <t xml:space="preserve">               GE.3.3 Ajoutez une contrainte (optionnelle)</t>
  </si>
  <si>
    <t xml:space="preserve">               GE.3.4 Effacez une contrainte (optionnelle)</t>
  </si>
  <si>
    <t xml:space="preserve">               C.1.5 Créez un événement récurrent</t>
  </si>
  <si>
    <t xml:space="preserve">               C.1.6 Modifiez un événement récurrent</t>
  </si>
  <si>
    <t xml:space="preserve">               C.1.7 Entrez vos disponibilités - production</t>
  </si>
  <si>
    <t xml:space="preserve">               S.1.1 Modifiez la vue de calendrier de Teamup Calendar</t>
  </si>
  <si>
    <t xml:space="preserve">               S.1.2 Affichez les événements d’un seul sous-calendrier et masquer tous les autres</t>
  </si>
  <si>
    <t xml:space="preserve">               S.1.3 Affichez les événements des sous-calendriers d’un groupe </t>
  </si>
  <si>
    <t xml:space="preserve">               S.1.4 Affichez les événements de 2 sous-calendriers ou plus</t>
  </si>
  <si>
    <t xml:space="preserve">               S.1.5 Filtrez les événements</t>
  </si>
  <si>
    <t xml:space="preserve">               S.1.6 Rafraîchissez le contenu de votre calendrier Teamup</t>
  </si>
  <si>
    <t xml:space="preserve">               GE.2.2 Modifiez la priorité du consommateur</t>
  </si>
  <si>
    <t xml:space="preserve">               GE.3.1 Ajoutez un « Type d’événement spécial » pour le sans rendez-vous</t>
  </si>
  <si>
    <t xml:space="preserve">               GE.3.5 Mettez à jour le contenu de la notification transmise chaque mois (optionnelle)</t>
  </si>
  <si>
    <t xml:space="preserve">               C.1.2 Entrez vos disponibilités ou non-disponibilités</t>
  </si>
  <si>
    <t xml:space="preserve">               C.1.4 Affichez votre sous-calendrier de disponibilités ou les sous-calendriers de ressources</t>
  </si>
  <si>
    <t>14. Demandez à vos consommateurs d'entrer leurs disponibilités dans Teamup</t>
  </si>
  <si>
    <t>15. Laissez tomber votre horaire précédent et utilisez maintenant Teamup</t>
  </si>
  <si>
    <r>
      <t xml:space="preserve">Note : Veuillez-vous référer au " </t>
    </r>
    <r>
      <rPr>
        <b/>
        <sz val="12"/>
        <rFont val="Aptos Narrow"/>
        <scheme val="minor"/>
      </rPr>
      <t>Guide d'Intégration de Team2Book</t>
    </r>
    <r>
      <rPr>
        <sz val="12"/>
        <rFont val="Aptos Narrow"/>
        <scheme val="minor"/>
      </rPr>
      <t xml:space="preserve"> "</t>
    </r>
  </si>
  <si>
    <r>
      <t xml:space="preserve">Note : Veuillez-vous référer au " </t>
    </r>
    <r>
      <rPr>
        <b/>
        <sz val="12"/>
        <rFont val="Aptos Narrow"/>
        <scheme val="minor"/>
      </rPr>
      <t>Guide de configuration de Team2Book</t>
    </r>
    <r>
      <rPr>
        <sz val="12"/>
        <rFont val="Aptos Narrow"/>
        <scheme val="minor"/>
      </rPr>
      <t xml:space="preserve"> "</t>
    </r>
  </si>
  <si>
    <r>
      <t xml:space="preserve">Note : Veuillez-vous référer au " </t>
    </r>
    <r>
      <rPr>
        <b/>
        <sz val="12"/>
        <rFont val="Aptos Narrow"/>
        <scheme val="minor"/>
      </rPr>
      <t>Guide de formation de Team2Book</t>
    </r>
    <r>
      <rPr>
        <sz val="12"/>
        <rFont val="Aptos Narrow"/>
        <scheme val="minor"/>
      </rPr>
      <t xml:space="preserve"> 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</si>
</sst>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18"/>
      <color theme="1"/>
      <name val="Baloo 2"/>
    </font>
    <font>
      <b/>
      <u/>
      <sz val="18"/>
      <color theme="1"/>
      <name val="Baloo 2"/>
    </font>
    <font>
      <sz val="16"/>
      <name val="Aptos Narrow"/>
      <scheme val="minor"/>
    </font>
    <font>
      <sz val="12"/>
      <name val="Aptos Narrow"/>
      <scheme val="minor"/>
    </font>
    <font>
      <sz val="14"/>
      <name val="Aptos Narrow"/>
      <scheme val="minor"/>
    </font>
    <font>
      <sz val="12"/>
      <color theme="1"/>
      <name val="Baloo 2"/>
    </font>
    <font>
      <u/>
      <sz val="16"/>
      <name val="Aptos Narrow"/>
      <scheme val="minor"/>
    </font>
    <font>
      <u/>
      <sz val="14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6"/>
      <color rgb="FF0070C0"/>
      <name val="Aptos Narrow"/>
      <scheme val="minor"/>
    </font>
    <font>
      <sz val="12"/>
      <color theme="1" tint="0.499984740745262"/>
      <name val="Aptos Narrow"/>
      <family val="2"/>
      <scheme val="minor"/>
    </font>
    <font>
      <b/>
      <sz val="12"/>
      <name val="Aptos Narrow"/>
      <scheme val="minor"/>
    </font>
    <font>
      <sz val="12"/>
      <color theme="1" tint="0.499984740745262"/>
      <name val="Aptos Narrow"/>
      <scheme val="minor"/>
    </font>
    <font>
      <sz val="12"/>
      <color rgb="FF80808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10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0" xfId="0" applyFont="1"/>
    <xf numFmtId="14" fontId="12" fillId="0" borderId="0" xfId="0" applyNumberFormat="1" applyFont="1"/>
    <xf numFmtId="14" fontId="13" fillId="0" borderId="0" xfId="0" applyNumberFormat="1" applyFont="1"/>
    <xf numFmtId="14" fontId="15" fillId="0" borderId="0" xfId="0" applyNumberFormat="1" applyFont="1"/>
    <xf numFmtId="14" fontId="16" fillId="0" borderId="0" xfId="0" applyNumberFormat="1" applyFont="1"/>
    <xf numFmtId="0" fontId="9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F5C2A-4774-B240-94B6-448FD13281FB}">
  <dimension ref="A1:C35"/>
  <sheetViews>
    <sheetView tabSelected="1" workbookViewId="0">
      <selection activeCell="E23" sqref="E23"/>
    </sheetView>
  </sheetViews>
  <sheetFormatPr baseColWidth="10" defaultRowHeight="16"/>
  <cols>
    <col min="1" max="1" width="56.5" customWidth="1"/>
    <col min="2" max="2" width="13.6640625" customWidth="1"/>
    <col min="3" max="3" width="14.83203125" customWidth="1"/>
  </cols>
  <sheetData>
    <row r="1" spans="1:3" ht="30">
      <c r="A1" s="1" t="s">
        <v>39</v>
      </c>
    </row>
    <row r="2" spans="1:3" ht="21">
      <c r="A2" s="3" t="s">
        <v>0</v>
      </c>
    </row>
    <row r="3" spans="1:3" ht="21">
      <c r="A3" s="3"/>
      <c r="B3" s="4" t="s">
        <v>74</v>
      </c>
      <c r="C3" s="4" t="s">
        <v>73</v>
      </c>
    </row>
    <row r="4" spans="1:3" ht="17">
      <c r="A4" s="11" t="s">
        <v>1</v>
      </c>
      <c r="B4" s="5" t="b">
        <v>0</v>
      </c>
      <c r="C4" s="8">
        <f>B33-120</f>
        <v>45658</v>
      </c>
    </row>
    <row r="5" spans="1:3" ht="17">
      <c r="A5" s="11" t="s">
        <v>2</v>
      </c>
      <c r="B5" s="5" t="b">
        <v>0</v>
      </c>
      <c r="C5" s="8">
        <f>B33-120</f>
        <v>45658</v>
      </c>
    </row>
    <row r="6" spans="1:3" ht="34">
      <c r="A6" s="11" t="s">
        <v>75</v>
      </c>
      <c r="B6" s="5" t="b">
        <v>0</v>
      </c>
      <c r="C6" s="8">
        <f>B33-105</f>
        <v>45673</v>
      </c>
    </row>
    <row r="7" spans="1:3" ht="17">
      <c r="A7" s="11" t="s">
        <v>3</v>
      </c>
      <c r="B7" s="5" t="b">
        <v>0</v>
      </c>
      <c r="C7" s="8">
        <f>B33-105</f>
        <v>45673</v>
      </c>
    </row>
    <row r="8" spans="1:3" ht="17">
      <c r="A8" s="11" t="s">
        <v>4</v>
      </c>
      <c r="B8" s="5" t="b">
        <v>0</v>
      </c>
      <c r="C8" s="8">
        <f>B33-100</f>
        <v>45678</v>
      </c>
    </row>
    <row r="9" spans="1:3" ht="17">
      <c r="A9" s="11" t="s">
        <v>5</v>
      </c>
      <c r="B9" s="5" t="b">
        <v>0</v>
      </c>
      <c r="C9" s="8">
        <f>B33-89</f>
        <v>45689</v>
      </c>
    </row>
    <row r="10" spans="1:3" ht="17">
      <c r="A10" s="11" t="s">
        <v>7</v>
      </c>
      <c r="B10" s="5" t="b">
        <v>0</v>
      </c>
      <c r="C10" s="8">
        <f>B33-96</f>
        <v>45682</v>
      </c>
    </row>
    <row r="11" spans="1:3" ht="17">
      <c r="A11" s="11" t="s">
        <v>8</v>
      </c>
      <c r="B11" s="5" t="b">
        <v>0</v>
      </c>
      <c r="C11" s="8">
        <f>B33-89</f>
        <v>45689</v>
      </c>
    </row>
    <row r="12" spans="1:3" ht="17">
      <c r="A12" s="11" t="s">
        <v>6</v>
      </c>
      <c r="B12" s="5" t="b">
        <v>0</v>
      </c>
      <c r="C12" s="8">
        <f>B33-68</f>
        <v>45710</v>
      </c>
    </row>
    <row r="13" spans="1:3" ht="17">
      <c r="A13" s="11" t="s">
        <v>9</v>
      </c>
      <c r="B13" s="5" t="b">
        <v>0</v>
      </c>
      <c r="C13" s="8">
        <f>B33-82</f>
        <v>45696</v>
      </c>
    </row>
    <row r="14" spans="1:3" ht="17">
      <c r="A14" s="11" t="s">
        <v>10</v>
      </c>
      <c r="B14" s="5" t="b">
        <v>0</v>
      </c>
      <c r="C14" s="8">
        <f>B33-75</f>
        <v>45703</v>
      </c>
    </row>
    <row r="15" spans="1:3" ht="17">
      <c r="A15" s="11" t="s">
        <v>11</v>
      </c>
      <c r="B15" s="5" t="b">
        <v>0</v>
      </c>
      <c r="C15" s="8">
        <f>B33-68</f>
        <v>45710</v>
      </c>
    </row>
    <row r="16" spans="1:3" ht="17">
      <c r="A16" s="11" t="s">
        <v>12</v>
      </c>
      <c r="B16" s="5" t="b">
        <v>0</v>
      </c>
      <c r="C16" s="8">
        <f>B33-43</f>
        <v>45735</v>
      </c>
    </row>
    <row r="17" spans="1:3" ht="17">
      <c r="A17" s="11" t="s">
        <v>79</v>
      </c>
      <c r="B17" s="5" t="b">
        <v>0</v>
      </c>
      <c r="C17" s="8">
        <f>B33-57</f>
        <v>45721</v>
      </c>
    </row>
    <row r="18" spans="1:3" ht="17">
      <c r="A18" s="11" t="s">
        <v>13</v>
      </c>
      <c r="B18" s="5" t="b">
        <v>0</v>
      </c>
      <c r="C18" s="8">
        <f>B33-50</f>
        <v>45728</v>
      </c>
    </row>
    <row r="19" spans="1:3" ht="17">
      <c r="A19" s="11" t="s">
        <v>76</v>
      </c>
      <c r="B19" s="5" t="b">
        <v>0</v>
      </c>
      <c r="C19" s="8">
        <f>B33-43</f>
        <v>45735</v>
      </c>
    </row>
    <row r="20" spans="1:3" ht="17">
      <c r="A20" s="11" t="s">
        <v>77</v>
      </c>
      <c r="B20" s="5" t="b">
        <v>0</v>
      </c>
      <c r="C20" s="8">
        <f>B33-22</f>
        <v>45756</v>
      </c>
    </row>
    <row r="21" spans="1:3" ht="17">
      <c r="A21" s="11" t="s">
        <v>78</v>
      </c>
      <c r="B21" s="5" t="b">
        <v>0</v>
      </c>
      <c r="C21" s="8">
        <f>B33-36</f>
        <v>45742</v>
      </c>
    </row>
    <row r="22" spans="1:3" ht="17">
      <c r="A22" s="11" t="s">
        <v>14</v>
      </c>
      <c r="B22" s="5" t="b">
        <v>0</v>
      </c>
      <c r="C22" s="8">
        <f>B33-29</f>
        <v>45749</v>
      </c>
    </row>
    <row r="23" spans="1:3" ht="17">
      <c r="A23" s="11" t="s">
        <v>15</v>
      </c>
      <c r="B23" s="5" t="b">
        <v>0</v>
      </c>
      <c r="C23" s="8">
        <f>B33-22</f>
        <v>45756</v>
      </c>
    </row>
    <row r="24" spans="1:3" ht="17">
      <c r="A24" s="11" t="s">
        <v>16</v>
      </c>
      <c r="B24" s="5" t="b">
        <v>0</v>
      </c>
      <c r="C24" s="8">
        <f>B33-66</f>
        <v>45712</v>
      </c>
    </row>
    <row r="25" spans="1:3" ht="17">
      <c r="A25" s="11" t="s">
        <v>17</v>
      </c>
      <c r="B25" s="5" t="b">
        <v>0</v>
      </c>
      <c r="C25" s="8">
        <f>B33-66</f>
        <v>45712</v>
      </c>
    </row>
    <row r="26" spans="1:3" ht="17">
      <c r="A26" s="11" t="s">
        <v>18</v>
      </c>
      <c r="B26" s="5" t="b">
        <v>0</v>
      </c>
      <c r="C26" s="8">
        <f>B33-40</f>
        <v>45738</v>
      </c>
    </row>
    <row r="27" spans="1:3" ht="17">
      <c r="A27" s="11" t="s">
        <v>19</v>
      </c>
      <c r="B27" s="5" t="b">
        <v>0</v>
      </c>
      <c r="C27" s="8">
        <f>B33-16</f>
        <v>45762</v>
      </c>
    </row>
    <row r="28" spans="1:3" ht="17">
      <c r="A28" s="11" t="s">
        <v>20</v>
      </c>
      <c r="B28" s="5" t="b">
        <v>0</v>
      </c>
      <c r="C28" s="8">
        <f>B33-16</f>
        <v>45762</v>
      </c>
    </row>
    <row r="29" spans="1:3" ht="17">
      <c r="A29" s="11" t="s">
        <v>21</v>
      </c>
      <c r="B29" s="5" t="b">
        <v>0</v>
      </c>
      <c r="C29" s="8">
        <f>B33-45</f>
        <v>45733</v>
      </c>
    </row>
    <row r="30" spans="1:3" ht="34">
      <c r="A30" s="11" t="s">
        <v>113</v>
      </c>
      <c r="B30" s="5" t="b">
        <v>0</v>
      </c>
      <c r="C30" s="8">
        <f>B33-61</f>
        <v>45717</v>
      </c>
    </row>
    <row r="31" spans="1:3" ht="34">
      <c r="A31" s="11" t="s">
        <v>114</v>
      </c>
      <c r="B31" s="5" t="b">
        <v>0</v>
      </c>
      <c r="C31" s="8">
        <f>B33</f>
        <v>45778</v>
      </c>
    </row>
    <row r="33" spans="1:2" ht="24">
      <c r="A33" s="6" t="s">
        <v>83</v>
      </c>
      <c r="B33" s="7">
        <v>45778</v>
      </c>
    </row>
    <row r="35" spans="1:2">
      <c r="A35" s="2" t="s">
        <v>115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7CE84-B19A-AF4A-81DA-228819CED66F}">
  <dimension ref="A1:C23"/>
  <sheetViews>
    <sheetView workbookViewId="0">
      <selection activeCell="F13" sqref="F13"/>
    </sheetView>
  </sheetViews>
  <sheetFormatPr baseColWidth="10" defaultRowHeight="16"/>
  <cols>
    <col min="1" max="1" width="56.5" customWidth="1"/>
    <col min="2" max="2" width="11.33203125" customWidth="1"/>
    <col min="3" max="3" width="16" customWidth="1"/>
  </cols>
  <sheetData>
    <row r="1" spans="1:3" ht="30">
      <c r="A1" s="1" t="s">
        <v>41</v>
      </c>
    </row>
    <row r="2" spans="1:3" ht="21">
      <c r="A2" s="3" t="s">
        <v>0</v>
      </c>
    </row>
    <row r="3" spans="1:3" ht="21">
      <c r="A3" s="3"/>
      <c r="B3" s="4" t="s">
        <v>74</v>
      </c>
      <c r="C3" s="4" t="s">
        <v>73</v>
      </c>
    </row>
    <row r="4" spans="1:3" ht="17">
      <c r="A4" s="11" t="s">
        <v>23</v>
      </c>
      <c r="B4" s="5" t="b">
        <v>0</v>
      </c>
      <c r="C4" s="8">
        <f>(Intégration!B33)-100</f>
        <v>45678</v>
      </c>
    </row>
    <row r="5" spans="1:3" ht="17">
      <c r="A5" s="11" t="s">
        <v>22</v>
      </c>
      <c r="B5" s="5" t="b">
        <v>0</v>
      </c>
      <c r="C5" s="8">
        <f>(Intégration!B33)-82</f>
        <v>45696</v>
      </c>
    </row>
    <row r="6" spans="1:3" ht="17">
      <c r="A6" s="11" t="s">
        <v>24</v>
      </c>
      <c r="B6" s="5" t="b">
        <v>0</v>
      </c>
      <c r="C6" s="8">
        <f>(Intégration!B33)-82</f>
        <v>45696</v>
      </c>
    </row>
    <row r="7" spans="1:3" ht="17">
      <c r="A7" s="11" t="s">
        <v>25</v>
      </c>
      <c r="B7" s="5" t="b">
        <v>0</v>
      </c>
      <c r="C7" s="8">
        <f>(Intégration!B33)-81</f>
        <v>45697</v>
      </c>
    </row>
    <row r="8" spans="1:3" ht="17">
      <c r="A8" s="11" t="s">
        <v>26</v>
      </c>
      <c r="B8" s="5" t="b">
        <v>0</v>
      </c>
      <c r="C8" s="8">
        <f>(Intégration!B33)-81</f>
        <v>45697</v>
      </c>
    </row>
    <row r="9" spans="1:3" ht="17">
      <c r="A9" s="11" t="s">
        <v>27</v>
      </c>
      <c r="B9" s="5" t="b">
        <v>0</v>
      </c>
      <c r="C9" s="8">
        <f>(Intégration!B33)-80</f>
        <v>45698</v>
      </c>
    </row>
    <row r="10" spans="1:3" ht="34">
      <c r="A10" s="11" t="s">
        <v>28</v>
      </c>
      <c r="B10" s="5" t="b">
        <v>0</v>
      </c>
      <c r="C10" s="8">
        <f>(Intégration!B33)-80</f>
        <v>45698</v>
      </c>
    </row>
    <row r="11" spans="1:3" ht="34">
      <c r="A11" s="11" t="s">
        <v>29</v>
      </c>
      <c r="B11" s="5" t="b">
        <v>0</v>
      </c>
      <c r="C11" s="8">
        <f>(Intégration!B33)-79</f>
        <v>45699</v>
      </c>
    </row>
    <row r="12" spans="1:3" ht="17">
      <c r="A12" s="11" t="s">
        <v>30</v>
      </c>
      <c r="B12" s="5" t="b">
        <v>0</v>
      </c>
      <c r="C12" s="8">
        <f>(Intégration!B33)-78</f>
        <v>45700</v>
      </c>
    </row>
    <row r="13" spans="1:3" ht="34">
      <c r="A13" s="11" t="s">
        <v>31</v>
      </c>
      <c r="B13" s="5" t="b">
        <v>0</v>
      </c>
      <c r="C13" s="8">
        <f>(Intégration!B33)-77</f>
        <v>45701</v>
      </c>
    </row>
    <row r="14" spans="1:3" ht="34">
      <c r="A14" s="11" t="s">
        <v>80</v>
      </c>
      <c r="B14" s="5" t="b">
        <v>0</v>
      </c>
      <c r="C14" s="8">
        <f>(Intégration!B33)-76</f>
        <v>45702</v>
      </c>
    </row>
    <row r="15" spans="1:3" ht="17">
      <c r="A15" s="11" t="s">
        <v>32</v>
      </c>
      <c r="B15" s="5" t="b">
        <v>0</v>
      </c>
      <c r="C15" s="8">
        <f>(Intégration!B33)-75</f>
        <v>45703</v>
      </c>
    </row>
    <row r="16" spans="1:3" ht="17">
      <c r="A16" s="11" t="s">
        <v>33</v>
      </c>
      <c r="B16" s="5" t="b">
        <v>0</v>
      </c>
      <c r="C16" s="8">
        <f>(Intégration!B33)-56</f>
        <v>45722</v>
      </c>
    </row>
    <row r="17" spans="1:3" ht="17">
      <c r="A17" s="11" t="s">
        <v>34</v>
      </c>
      <c r="B17" s="5" t="b">
        <v>0</v>
      </c>
      <c r="C17" s="8">
        <f>(Intégration!B33)-57</f>
        <v>45721</v>
      </c>
    </row>
    <row r="18" spans="1:3" ht="17">
      <c r="A18" s="11" t="s">
        <v>35</v>
      </c>
      <c r="B18" s="5" t="b">
        <v>0</v>
      </c>
      <c r="C18" s="8">
        <f>(Intégration!B33)-54</f>
        <v>45724</v>
      </c>
    </row>
    <row r="19" spans="1:3" ht="17">
      <c r="A19" s="11" t="s">
        <v>36</v>
      </c>
      <c r="B19" s="5" t="b">
        <v>0</v>
      </c>
      <c r="C19" s="8">
        <f>(Intégration!B33)-52</f>
        <v>45726</v>
      </c>
    </row>
    <row r="20" spans="1:3" ht="17">
      <c r="A20" s="11" t="s">
        <v>37</v>
      </c>
      <c r="B20" s="5" t="b">
        <v>0</v>
      </c>
      <c r="C20" s="8">
        <f>(Intégration!B33)-50</f>
        <v>45728</v>
      </c>
    </row>
    <row r="21" spans="1:3" ht="17">
      <c r="A21" s="11" t="s">
        <v>38</v>
      </c>
      <c r="B21" s="5" t="b">
        <v>0</v>
      </c>
      <c r="C21" s="8">
        <f>(Intégration!B33)-29</f>
        <v>45749</v>
      </c>
    </row>
    <row r="23" spans="1:3">
      <c r="A23" s="2" t="s">
        <v>116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F8D2-38E9-5547-8997-E27F24C7D9A4}">
  <dimension ref="A1:C67"/>
  <sheetViews>
    <sheetView workbookViewId="0">
      <selection activeCell="D19" sqref="D19"/>
    </sheetView>
  </sheetViews>
  <sheetFormatPr baseColWidth="10" defaultRowHeight="16"/>
  <cols>
    <col min="1" max="1" width="59.33203125" customWidth="1"/>
    <col min="2" max="2" width="9.33203125" customWidth="1"/>
    <col min="3" max="3" width="15.33203125" customWidth="1"/>
  </cols>
  <sheetData>
    <row r="1" spans="1:3" ht="30">
      <c r="A1" s="1" t="s">
        <v>40</v>
      </c>
    </row>
    <row r="2" spans="1:3" ht="21">
      <c r="A2" s="3" t="s">
        <v>0</v>
      </c>
    </row>
    <row r="3" spans="1:3">
      <c r="B3" s="4" t="s">
        <v>74</v>
      </c>
      <c r="C3" s="4" t="s">
        <v>73</v>
      </c>
    </row>
    <row r="4" spans="1:3" ht="23">
      <c r="A4" s="12" t="s">
        <v>58</v>
      </c>
      <c r="B4" s="5" t="b">
        <v>0</v>
      </c>
      <c r="C4" s="9">
        <f>(Intégration!B33)-89</f>
        <v>45689</v>
      </c>
    </row>
    <row r="5" spans="1:3" ht="20">
      <c r="A5" s="13" t="s">
        <v>42</v>
      </c>
      <c r="B5" s="5" t="b">
        <v>0</v>
      </c>
      <c r="C5" s="9">
        <f>(Intégration!B33)-96</f>
        <v>45682</v>
      </c>
    </row>
    <row r="6" spans="1:3" ht="17">
      <c r="A6" s="14" t="s">
        <v>81</v>
      </c>
      <c r="B6" s="5" t="b">
        <v>0</v>
      </c>
      <c r="C6" s="9">
        <f>(Intégration!B33)-96</f>
        <v>45682</v>
      </c>
    </row>
    <row r="7" spans="1:3" ht="34">
      <c r="A7" s="14" t="s">
        <v>82</v>
      </c>
      <c r="B7" s="5" t="b">
        <v>0</v>
      </c>
      <c r="C7" s="9">
        <f>(Intégration!B33)-96</f>
        <v>45682</v>
      </c>
    </row>
    <row r="8" spans="1:3" ht="17">
      <c r="A8" s="14" t="s">
        <v>46</v>
      </c>
      <c r="B8" s="5" t="b">
        <v>0</v>
      </c>
      <c r="C8" s="9">
        <f>(Intégration!B33)-96</f>
        <v>45682</v>
      </c>
    </row>
    <row r="9" spans="1:3" ht="17">
      <c r="A9" s="14" t="s">
        <v>84</v>
      </c>
      <c r="B9" s="5" t="b">
        <v>0</v>
      </c>
      <c r="C9" s="9">
        <f>(Intégration!B33)-96</f>
        <v>45682</v>
      </c>
    </row>
    <row r="10" spans="1:3" ht="17">
      <c r="A10" s="14" t="s">
        <v>85</v>
      </c>
      <c r="B10" s="5" t="b">
        <v>0</v>
      </c>
      <c r="C10" s="9">
        <f>(Intégration!B33)-96</f>
        <v>45682</v>
      </c>
    </row>
    <row r="11" spans="1:3" ht="17">
      <c r="A11" s="14" t="s">
        <v>47</v>
      </c>
      <c r="B11" s="5" t="b">
        <v>0</v>
      </c>
      <c r="C11" s="9">
        <f>(Intégration!B33)-96</f>
        <v>45682</v>
      </c>
    </row>
    <row r="12" spans="1:3" ht="17">
      <c r="A12" s="14" t="s">
        <v>48</v>
      </c>
      <c r="B12" s="5" t="b">
        <v>0</v>
      </c>
      <c r="C12" s="9">
        <f>(Intégration!B33)-96</f>
        <v>45682</v>
      </c>
    </row>
    <row r="13" spans="1:3" ht="17">
      <c r="A13" s="14" t="s">
        <v>49</v>
      </c>
      <c r="B13" s="5" t="b">
        <v>0</v>
      </c>
      <c r="C13" s="9">
        <f>(Intégration!B33)-96</f>
        <v>45682</v>
      </c>
    </row>
    <row r="14" spans="1:3" ht="17">
      <c r="A14" s="14" t="s">
        <v>50</v>
      </c>
      <c r="B14" s="5" t="b">
        <v>0</v>
      </c>
      <c r="C14" s="9">
        <f>(Intégration!B33)-96</f>
        <v>45682</v>
      </c>
    </row>
    <row r="15" spans="1:3" ht="34">
      <c r="A15" s="14" t="s">
        <v>86</v>
      </c>
      <c r="B15" s="5" t="b">
        <v>0</v>
      </c>
      <c r="C15" s="9">
        <f>(Intégration!B33)-96</f>
        <v>45682</v>
      </c>
    </row>
    <row r="16" spans="1:3" ht="17">
      <c r="A16" s="14" t="s">
        <v>87</v>
      </c>
      <c r="B16" s="5" t="b">
        <v>0</v>
      </c>
      <c r="C16" s="9">
        <f>(Intégration!B33)-96</f>
        <v>45682</v>
      </c>
    </row>
    <row r="17" spans="1:3" ht="34">
      <c r="A17" s="14" t="s">
        <v>88</v>
      </c>
      <c r="B17" s="5" t="b">
        <v>0</v>
      </c>
      <c r="C17" s="9">
        <f>(Intégration!B33)-96</f>
        <v>45682</v>
      </c>
    </row>
    <row r="18" spans="1:3" ht="34">
      <c r="A18" s="14" t="s">
        <v>89</v>
      </c>
      <c r="B18" s="5" t="b">
        <v>0</v>
      </c>
      <c r="C18" s="9">
        <f>(Intégration!B33)-96</f>
        <v>45682</v>
      </c>
    </row>
    <row r="19" spans="1:3" ht="17">
      <c r="A19" s="14" t="s">
        <v>90</v>
      </c>
      <c r="B19" s="5" t="b">
        <v>0</v>
      </c>
      <c r="C19" s="9">
        <f>(Intégration!B33)-96</f>
        <v>45682</v>
      </c>
    </row>
    <row r="20" spans="1:3" ht="17">
      <c r="A20" s="14" t="s">
        <v>92</v>
      </c>
      <c r="B20" s="5" t="b">
        <v>0</v>
      </c>
      <c r="C20" s="9">
        <f>(Intégration!B33)-96</f>
        <v>45682</v>
      </c>
    </row>
    <row r="21" spans="1:3" ht="17">
      <c r="A21" s="14" t="s">
        <v>91</v>
      </c>
      <c r="B21" s="5" t="b">
        <v>0</v>
      </c>
      <c r="C21" s="9">
        <f>(Intégration!B33)-96</f>
        <v>45682</v>
      </c>
    </row>
    <row r="22" spans="1:3" ht="20">
      <c r="A22" s="13" t="s">
        <v>43</v>
      </c>
      <c r="B22" s="5" t="b">
        <v>0</v>
      </c>
      <c r="C22" s="9">
        <f>(Intégration!B33)-89</f>
        <v>45689</v>
      </c>
    </row>
    <row r="23" spans="1:3" ht="23">
      <c r="A23" s="12" t="s">
        <v>59</v>
      </c>
      <c r="B23" s="5" t="b">
        <v>0</v>
      </c>
      <c r="C23" s="9">
        <f>(Intégration!B33)-68</f>
        <v>45710</v>
      </c>
    </row>
    <row r="24" spans="1:3" ht="20">
      <c r="A24" s="13" t="s">
        <v>60</v>
      </c>
      <c r="B24" s="5" t="b">
        <v>0</v>
      </c>
      <c r="C24" s="9">
        <f>(Intégration!B33)-82</f>
        <v>45696</v>
      </c>
    </row>
    <row r="25" spans="1:3" ht="17">
      <c r="A25" s="14" t="s">
        <v>93</v>
      </c>
      <c r="B25" s="5" t="b">
        <v>0</v>
      </c>
      <c r="C25" s="9">
        <f>(Intégration!B33)-82</f>
        <v>45696</v>
      </c>
    </row>
    <row r="26" spans="1:3" ht="17">
      <c r="A26" s="14" t="s">
        <v>108</v>
      </c>
      <c r="B26" s="5" t="b">
        <v>0</v>
      </c>
      <c r="C26" s="9">
        <f>(Intégration!B33)-82</f>
        <v>45696</v>
      </c>
    </row>
    <row r="27" spans="1:3" ht="34">
      <c r="A27" s="14" t="s">
        <v>94</v>
      </c>
      <c r="B27" s="5" t="b">
        <v>0</v>
      </c>
      <c r="C27" s="9">
        <f>(Intégration!B33)-82</f>
        <v>45696</v>
      </c>
    </row>
    <row r="28" spans="1:3" ht="17">
      <c r="A28" s="14" t="s">
        <v>95</v>
      </c>
      <c r="B28" s="5" t="b">
        <v>0</v>
      </c>
      <c r="C28" s="9">
        <f>(Intégration!B33)-82</f>
        <v>45696</v>
      </c>
    </row>
    <row r="29" spans="1:3" ht="20">
      <c r="A29" s="13" t="s">
        <v>44</v>
      </c>
      <c r="B29" s="5" t="b">
        <v>0</v>
      </c>
      <c r="C29" s="9">
        <f>(Intégration!B33)-75</f>
        <v>45703</v>
      </c>
    </row>
    <row r="30" spans="1:3" ht="20">
      <c r="A30" s="13" t="s">
        <v>45</v>
      </c>
      <c r="B30" s="5" t="b">
        <v>0</v>
      </c>
      <c r="C30" s="9">
        <f>(Intégration!B33)-68</f>
        <v>45710</v>
      </c>
    </row>
    <row r="31" spans="1:3" ht="23">
      <c r="A31" s="12" t="s">
        <v>61</v>
      </c>
      <c r="B31" s="5" t="b">
        <v>0</v>
      </c>
      <c r="C31" s="9">
        <f>(Intégration!B33)-43</f>
        <v>45735</v>
      </c>
    </row>
    <row r="32" spans="1:3" ht="20">
      <c r="A32" s="13" t="s">
        <v>51</v>
      </c>
      <c r="B32" s="5" t="b">
        <v>0</v>
      </c>
      <c r="C32" s="9">
        <f>(Intégration!B33)-57</f>
        <v>45721</v>
      </c>
    </row>
    <row r="33" spans="1:3" ht="34">
      <c r="A33" s="14" t="s">
        <v>109</v>
      </c>
      <c r="B33" s="5" t="b">
        <v>0</v>
      </c>
      <c r="C33" s="9">
        <f>(Intégration!B33)-57</f>
        <v>45721</v>
      </c>
    </row>
    <row r="34" spans="1:3" ht="17">
      <c r="A34" s="14" t="s">
        <v>96</v>
      </c>
      <c r="B34" s="5" t="b">
        <v>0</v>
      </c>
      <c r="C34" s="9">
        <f>(Intégration!B33)-57</f>
        <v>45721</v>
      </c>
    </row>
    <row r="35" spans="1:3" ht="17">
      <c r="A35" s="14" t="s">
        <v>97</v>
      </c>
      <c r="B35" s="5" t="b">
        <v>0</v>
      </c>
      <c r="C35" s="9">
        <f>(Intégration!B33)-57</f>
        <v>45721</v>
      </c>
    </row>
    <row r="36" spans="1:3" ht="17">
      <c r="A36" s="14" t="s">
        <v>98</v>
      </c>
      <c r="B36" s="5" t="b">
        <v>0</v>
      </c>
      <c r="C36" s="9">
        <f>(Intégration!B33)-57</f>
        <v>45721</v>
      </c>
    </row>
    <row r="37" spans="1:3" ht="34">
      <c r="A37" s="14" t="s">
        <v>110</v>
      </c>
      <c r="B37" s="5" t="b">
        <v>0</v>
      </c>
      <c r="C37" s="9">
        <f>(Intégration!B33)-57</f>
        <v>45721</v>
      </c>
    </row>
    <row r="38" spans="1:3" ht="20">
      <c r="A38" s="13" t="s">
        <v>52</v>
      </c>
      <c r="B38" s="5" t="b">
        <v>0</v>
      </c>
      <c r="C38" s="9">
        <f>(Intégration!B33)-50</f>
        <v>45728</v>
      </c>
    </row>
    <row r="39" spans="1:3" ht="20">
      <c r="A39" s="13" t="s">
        <v>53</v>
      </c>
      <c r="B39" s="5" t="b">
        <v>0</v>
      </c>
      <c r="C39" s="9">
        <f>(Intégration!B33)-43</f>
        <v>45735</v>
      </c>
    </row>
    <row r="40" spans="1:3" ht="23">
      <c r="A40" s="12" t="s">
        <v>62</v>
      </c>
      <c r="B40" s="5" t="b">
        <v>0</v>
      </c>
      <c r="C40" s="9">
        <f>(Intégration!B33)-22</f>
        <v>45756</v>
      </c>
    </row>
    <row r="41" spans="1:3" ht="20">
      <c r="A41" s="13" t="s">
        <v>54</v>
      </c>
      <c r="B41" s="5" t="b">
        <v>0</v>
      </c>
      <c r="C41" s="9">
        <f>(Intégration!B33)-36</f>
        <v>45742</v>
      </c>
    </row>
    <row r="42" spans="1:3" ht="17">
      <c r="A42" s="14" t="s">
        <v>67</v>
      </c>
      <c r="B42" s="5" t="b">
        <v>0</v>
      </c>
      <c r="C42" s="9">
        <f>(Intégration!B33)-36</f>
        <v>45742</v>
      </c>
    </row>
    <row r="43" spans="1:3" ht="17">
      <c r="A43" s="14" t="s">
        <v>68</v>
      </c>
      <c r="B43" s="5" t="b">
        <v>0</v>
      </c>
      <c r="C43" s="9">
        <f>(Intégration!B33)-36</f>
        <v>45742</v>
      </c>
    </row>
    <row r="44" spans="1:3" ht="17">
      <c r="A44" s="14" t="s">
        <v>69</v>
      </c>
      <c r="B44" s="5" t="b">
        <v>0</v>
      </c>
      <c r="C44" s="9">
        <f>(Intégration!B33)-36</f>
        <v>45742</v>
      </c>
    </row>
    <row r="45" spans="1:3" ht="17">
      <c r="A45" s="14" t="s">
        <v>70</v>
      </c>
      <c r="B45" s="5" t="b">
        <v>0</v>
      </c>
      <c r="C45" s="10">
        <f>(Intégration!B33)-36</f>
        <v>45742</v>
      </c>
    </row>
    <row r="46" spans="1:3" ht="20">
      <c r="A46" s="13" t="s">
        <v>55</v>
      </c>
      <c r="B46" s="5" t="b">
        <v>0</v>
      </c>
      <c r="C46" s="9">
        <f>(Intégration!B33)-29</f>
        <v>45749</v>
      </c>
    </row>
    <row r="47" spans="1:3" ht="20">
      <c r="A47" s="13" t="s">
        <v>56</v>
      </c>
      <c r="B47" s="5" t="b">
        <v>0</v>
      </c>
      <c r="C47" s="9">
        <f>(Intégration!B33)-22</f>
        <v>45756</v>
      </c>
    </row>
    <row r="48" spans="1:3" ht="23">
      <c r="A48" s="12" t="s">
        <v>63</v>
      </c>
      <c r="B48" s="5" t="b">
        <v>0</v>
      </c>
      <c r="C48" s="9">
        <f>(Intégration!B33)-66</f>
        <v>45712</v>
      </c>
    </row>
    <row r="49" spans="1:3" ht="20">
      <c r="A49" s="13" t="s">
        <v>57</v>
      </c>
      <c r="B49" s="5" t="b">
        <v>0</v>
      </c>
      <c r="C49" s="9">
        <f>(Intégration!B33)-66</f>
        <v>45712</v>
      </c>
    </row>
    <row r="50" spans="1:3" ht="17">
      <c r="A50" s="14" t="s">
        <v>71</v>
      </c>
      <c r="B50" s="5" t="b">
        <v>0</v>
      </c>
      <c r="C50" s="9">
        <f>(Intégration!B33)-66</f>
        <v>45712</v>
      </c>
    </row>
    <row r="51" spans="1:3" ht="17">
      <c r="A51" s="14" t="s">
        <v>111</v>
      </c>
      <c r="B51" s="5" t="b">
        <v>0</v>
      </c>
      <c r="C51" s="9">
        <f>(Intégration!B33)-66</f>
        <v>45712</v>
      </c>
    </row>
    <row r="52" spans="1:3" ht="34">
      <c r="A52" s="14" t="s">
        <v>72</v>
      </c>
      <c r="B52" s="5" t="b">
        <v>0</v>
      </c>
      <c r="C52" s="9">
        <f>(Intégration!B33)-66</f>
        <v>45712</v>
      </c>
    </row>
    <row r="53" spans="1:3" ht="34">
      <c r="A53" s="14" t="s">
        <v>112</v>
      </c>
      <c r="B53" s="5" t="b">
        <v>0</v>
      </c>
      <c r="C53" s="9">
        <f>(Intégration!B33)-66</f>
        <v>45712</v>
      </c>
    </row>
    <row r="54" spans="1:3" ht="17">
      <c r="A54" s="14" t="s">
        <v>99</v>
      </c>
      <c r="B54" s="5" t="b">
        <v>0</v>
      </c>
      <c r="C54" s="9">
        <f>(Intégration!B33)-66</f>
        <v>45712</v>
      </c>
    </row>
    <row r="55" spans="1:3" ht="17">
      <c r="A55" s="14" t="s">
        <v>100</v>
      </c>
      <c r="B55" s="5" t="b">
        <v>0</v>
      </c>
      <c r="C55" s="9">
        <f>(Intégration!B33)-66</f>
        <v>45712</v>
      </c>
    </row>
    <row r="56" spans="1:3" ht="17">
      <c r="A56" s="14" t="s">
        <v>101</v>
      </c>
      <c r="B56" s="5" t="b">
        <v>0</v>
      </c>
      <c r="C56" s="9">
        <f>(Intégration!B33)-66</f>
        <v>45712</v>
      </c>
    </row>
    <row r="57" spans="1:3" ht="46">
      <c r="A57" s="12" t="s">
        <v>64</v>
      </c>
      <c r="B57" s="5" t="b">
        <v>0</v>
      </c>
      <c r="C57" s="9">
        <f>(Intégration!B33)-40</f>
        <v>45738</v>
      </c>
    </row>
    <row r="58" spans="1:3" ht="23">
      <c r="A58" s="12" t="s">
        <v>65</v>
      </c>
      <c r="B58" s="5" t="b">
        <v>0</v>
      </c>
      <c r="C58" s="9">
        <f>(Intégration!B33)-16</f>
        <v>45762</v>
      </c>
    </row>
    <row r="59" spans="1:3" ht="19" customHeight="1">
      <c r="A59" s="13" t="s">
        <v>66</v>
      </c>
      <c r="B59" s="5" t="b">
        <v>0</v>
      </c>
      <c r="C59" s="9">
        <f>(Intégration!B33)-16</f>
        <v>45762</v>
      </c>
    </row>
    <row r="60" spans="1:3" ht="17">
      <c r="A60" s="14" t="s">
        <v>102</v>
      </c>
      <c r="B60" s="5" t="b">
        <v>0</v>
      </c>
      <c r="C60" s="9">
        <f>(Intégration!B33)-16</f>
        <v>45762</v>
      </c>
    </row>
    <row r="61" spans="1:3" ht="34">
      <c r="A61" s="14" t="s">
        <v>103</v>
      </c>
      <c r="B61" s="5" t="b">
        <v>0</v>
      </c>
      <c r="C61" s="9">
        <f>(Intégration!B33)-16</f>
        <v>45762</v>
      </c>
    </row>
    <row r="62" spans="1:3" ht="17">
      <c r="A62" s="14" t="s">
        <v>104</v>
      </c>
      <c r="B62" s="5" t="b">
        <v>0</v>
      </c>
      <c r="C62" s="9">
        <f>(Intégration!B33)-16</f>
        <v>45762</v>
      </c>
    </row>
    <row r="63" spans="1:3" ht="17">
      <c r="A63" s="14" t="s">
        <v>105</v>
      </c>
      <c r="B63" s="5" t="b">
        <v>0</v>
      </c>
      <c r="C63" s="9">
        <f>(Intégration!B33)-16</f>
        <v>45762</v>
      </c>
    </row>
    <row r="64" spans="1:3" ht="17">
      <c r="A64" s="14" t="s">
        <v>106</v>
      </c>
      <c r="B64" s="5" t="b">
        <v>0</v>
      </c>
      <c r="C64" s="9">
        <f>(Intégration!B33)-16</f>
        <v>45762</v>
      </c>
    </row>
    <row r="65" spans="1:3" ht="17">
      <c r="A65" s="14" t="s">
        <v>107</v>
      </c>
      <c r="B65" s="5" t="b">
        <v>0</v>
      </c>
      <c r="C65" s="9">
        <f>(Intégration!B33)-16</f>
        <v>45762</v>
      </c>
    </row>
    <row r="66" spans="1:3">
      <c r="A66" s="15"/>
    </row>
    <row r="67" spans="1:3" ht="17">
      <c r="A67" s="14" t="s">
        <v>117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</vt:i4>
      </vt:variant>
    </vt:vector>
  </HeadingPairs>
  <TitlesOfParts>
    <vt:vector size="23" baseType="lpstr">
      <vt:lpstr>Intégration</vt:lpstr>
      <vt:lpstr>Configuration</vt:lpstr>
      <vt:lpstr>Formation</vt:lpstr>
      <vt:lpstr>Formation!_Toc187670050</vt:lpstr>
      <vt:lpstr>Formation!_Toc187670051</vt:lpstr>
      <vt:lpstr>Formation!_Toc187670052</vt:lpstr>
      <vt:lpstr>Formation!_Toc187670053</vt:lpstr>
      <vt:lpstr>Formation!_Toc187670054</vt:lpstr>
      <vt:lpstr>Formation!_Toc187670055</vt:lpstr>
      <vt:lpstr>Formation!_Toc187670056</vt:lpstr>
      <vt:lpstr>Formation!_Toc187670057</vt:lpstr>
      <vt:lpstr>Formation!_Toc187670058</vt:lpstr>
      <vt:lpstr>Formation!_Toc187670059</vt:lpstr>
      <vt:lpstr>Formation!_Toc187670060</vt:lpstr>
      <vt:lpstr>Formation!_Toc187670061</vt:lpstr>
      <vt:lpstr>Formation!_Toc187670062</vt:lpstr>
      <vt:lpstr>Formation!_Toc187670063</vt:lpstr>
      <vt:lpstr>Formation!_Toc187670064</vt:lpstr>
      <vt:lpstr>Formation!_Toc187670065</vt:lpstr>
      <vt:lpstr>Formation!_Toc187670066</vt:lpstr>
      <vt:lpstr>Formation!_Toc187670067</vt:lpstr>
      <vt:lpstr>Formation!_Toc187670068</vt:lpstr>
      <vt:lpstr>Formation!_Toc187670069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Guay</dc:creator>
  <cp:lastModifiedBy>Jonathan Guay</cp:lastModifiedBy>
  <dcterms:created xsi:type="dcterms:W3CDTF">2024-12-12T16:12:46Z</dcterms:created>
  <dcterms:modified xsi:type="dcterms:W3CDTF">2025-01-14T16:39:08Z</dcterms:modified>
</cp:coreProperties>
</file>